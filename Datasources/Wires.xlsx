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\Inductor Design\Datasources\"/>
    </mc:Choice>
  </mc:AlternateContent>
  <xr:revisionPtr revIDLastSave="0" documentId="13_ncr:1_{41E5C6A5-1A08-4BC3-B258-83AD366539E7}" xr6:coauthVersionLast="47" xr6:coauthVersionMax="47" xr10:uidLastSave="{00000000-0000-0000-0000-000000000000}"/>
  <bookViews>
    <workbookView xWindow="-110" yWindow="-110" windowWidth="38620" windowHeight="21100" xr2:uid="{4BB6EF32-6047-4CBB-A83F-F4A6A23D553A}"/>
  </bookViews>
  <sheets>
    <sheet name="Wires" sheetId="3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" l="1"/>
  <c r="F4" i="2"/>
  <c r="F5" i="2"/>
  <c r="F6" i="2"/>
  <c r="F7" i="2"/>
  <c r="F8" i="2"/>
  <c r="F9" i="2"/>
  <c r="F10" i="2"/>
  <c r="F11" i="2"/>
  <c r="F3" i="2"/>
  <c r="E4" i="2"/>
  <c r="E5" i="2"/>
  <c r="E6" i="2"/>
  <c r="E7" i="2"/>
  <c r="E8" i="2"/>
  <c r="E9" i="2"/>
  <c r="E10" i="2"/>
  <c r="E11" i="2"/>
  <c r="E3" i="2"/>
  <c r="D4" i="2"/>
  <c r="D5" i="2"/>
  <c r="D6" i="2"/>
  <c r="D7" i="2"/>
  <c r="D8" i="2"/>
  <c r="D9" i="2"/>
  <c r="D10" i="2"/>
  <c r="D11" i="2"/>
  <c r="D3" i="2"/>
  <c r="C4" i="2"/>
  <c r="A4" i="2" s="1"/>
  <c r="C5" i="2"/>
  <c r="A5" i="2" s="1"/>
  <c r="C6" i="2"/>
  <c r="A6" i="2" s="1"/>
  <c r="C7" i="2"/>
  <c r="A7" i="2" s="1"/>
  <c r="C8" i="2"/>
  <c r="A8" i="2" s="1"/>
  <c r="C9" i="2"/>
  <c r="A9" i="2" s="1"/>
  <c r="C10" i="2"/>
  <c r="A10" i="2" s="1"/>
  <c r="C11" i="2"/>
  <c r="A11" i="2" s="1"/>
  <c r="C3" i="2"/>
</calcChain>
</file>

<file path=xl/sharedStrings.xml><?xml version="1.0" encoding="utf-8"?>
<sst xmlns="http://schemas.openxmlformats.org/spreadsheetml/2006/main" count="129" uniqueCount="128">
  <si>
    <t>Strands</t>
  </si>
  <si>
    <t>AWG</t>
  </si>
  <si>
    <t>Ohm_m</t>
  </si>
  <si>
    <t>Name</t>
  </si>
  <si>
    <t>S_Cu</t>
  </si>
  <si>
    <t>S_Total</t>
  </si>
  <si>
    <t>Custom</t>
  </si>
  <si>
    <t>1x AWG 10</t>
  </si>
  <si>
    <t>1x AWG 11</t>
  </si>
  <si>
    <t>1x AWG 12</t>
  </si>
  <si>
    <t>1x AWG 13</t>
  </si>
  <si>
    <t>1x AWG 14</t>
  </si>
  <si>
    <t>1x AWG 15</t>
  </si>
  <si>
    <t>1x AWG 16</t>
  </si>
  <si>
    <t>1x AWG 17</t>
  </si>
  <si>
    <t>1x AWG 18</t>
  </si>
  <si>
    <t>1x AWG 19</t>
  </si>
  <si>
    <t>1x AWG 20</t>
  </si>
  <si>
    <t>1x AWG 21</t>
  </si>
  <si>
    <t>1x AWG 22</t>
  </si>
  <si>
    <t>1x AWG 23</t>
  </si>
  <si>
    <t>1x AWG 24</t>
  </si>
  <si>
    <t>1x AWG 25</t>
  </si>
  <si>
    <t>1x AWG 26</t>
  </si>
  <si>
    <t>1x AWG 27</t>
  </si>
  <si>
    <t>1x AWG 28</t>
  </si>
  <si>
    <t>1x AWG 29</t>
  </si>
  <si>
    <t>1x AWG 30</t>
  </si>
  <si>
    <t>1x AWG 31</t>
  </si>
  <si>
    <t>1x AWG 32</t>
  </si>
  <si>
    <t>1x AWG 33</t>
  </si>
  <si>
    <t>1x AWG 34</t>
  </si>
  <si>
    <t>3x AWG 34</t>
  </si>
  <si>
    <t>4x AWG 34</t>
  </si>
  <si>
    <t>5x AWG 34</t>
  </si>
  <si>
    <t>6x AWG 34</t>
  </si>
  <si>
    <t>7x AWG 34</t>
  </si>
  <si>
    <t>8x AWG 34</t>
  </si>
  <si>
    <t>9x AWG 34</t>
  </si>
  <si>
    <t>10x AWG 34</t>
  </si>
  <si>
    <t>15x AWG 34</t>
  </si>
  <si>
    <t>20x AWG 34</t>
  </si>
  <si>
    <t>1x AWG 35</t>
  </si>
  <si>
    <t>1x AWG 36</t>
  </si>
  <si>
    <t>1x AWG 37</t>
  </si>
  <si>
    <t>1x AWG 38</t>
  </si>
  <si>
    <t>2x AWG 38</t>
  </si>
  <si>
    <t>3x AWG 38</t>
  </si>
  <si>
    <t>4x AWG 38</t>
  </si>
  <si>
    <t>5x AWG 38</t>
  </si>
  <si>
    <t>6x AWG 38</t>
  </si>
  <si>
    <t>7x AWG 38</t>
  </si>
  <si>
    <t>8x AWG 38</t>
  </si>
  <si>
    <t>9x AWG 38</t>
  </si>
  <si>
    <t>10x AWG 38</t>
  </si>
  <si>
    <t>15x AWG 38</t>
  </si>
  <si>
    <t>20x AWG 38</t>
  </si>
  <si>
    <t>25x AWG 38</t>
  </si>
  <si>
    <t>30x AWG 38</t>
  </si>
  <si>
    <t>40x AWG 38</t>
  </si>
  <si>
    <t>50x AWG 38</t>
  </si>
  <si>
    <t>60x AWG 38</t>
  </si>
  <si>
    <t>1x AWG 39</t>
  </si>
  <si>
    <t>1x AWG 40</t>
  </si>
  <si>
    <t>1x AWG 41</t>
  </si>
  <si>
    <t>2x AWG 27</t>
  </si>
  <si>
    <t>3x AWG 27</t>
  </si>
  <si>
    <t>4x AWG 27</t>
  </si>
  <si>
    <t>5x AWG 27</t>
  </si>
  <si>
    <t>6x AWG 27</t>
  </si>
  <si>
    <t>7x AWG 27</t>
  </si>
  <si>
    <t>8x AWG 27</t>
  </si>
  <si>
    <t>9x AWG 27</t>
  </si>
  <si>
    <t>10x AWG 27</t>
  </si>
  <si>
    <t>2x AWG 28</t>
  </si>
  <si>
    <t>3x AWG 28</t>
  </si>
  <si>
    <t>4x AWG 28</t>
  </si>
  <si>
    <t>5x AWG 28</t>
  </si>
  <si>
    <t>6x AWG 28</t>
  </si>
  <si>
    <t>7x AWG 28</t>
  </si>
  <si>
    <t>8x AWG 28</t>
  </si>
  <si>
    <t>9x AWG 28</t>
  </si>
  <si>
    <t>10x AWG 28</t>
  </si>
  <si>
    <t>2x AWG 26</t>
  </si>
  <si>
    <t>3x AWG 26</t>
  </si>
  <si>
    <t>4x AWG 26</t>
  </si>
  <si>
    <t>5x AWG 26</t>
  </si>
  <si>
    <t>6x AWG 26</t>
  </si>
  <si>
    <t>7x AWG 26</t>
  </si>
  <si>
    <t>8x AWG 26</t>
  </si>
  <si>
    <t>9x AWG 26</t>
  </si>
  <si>
    <t>10x AWG 26</t>
  </si>
  <si>
    <t>2x AWG 23</t>
  </si>
  <si>
    <t>3x AWG 23</t>
  </si>
  <si>
    <t>4x AWG 23</t>
  </si>
  <si>
    <t>5x AWG 23</t>
  </si>
  <si>
    <t>6x AWG 23</t>
  </si>
  <si>
    <t>7x AWG 23</t>
  </si>
  <si>
    <t>8x AWG 23</t>
  </si>
  <si>
    <t>9x AWG 23</t>
  </si>
  <si>
    <t>10x AWG 23</t>
  </si>
  <si>
    <t>2x AWG 24</t>
  </si>
  <si>
    <t>3x AWG 24</t>
  </si>
  <si>
    <t>4x AWG 24</t>
  </si>
  <si>
    <t>5x AWG 24</t>
  </si>
  <si>
    <t>6x AWG 24</t>
  </si>
  <si>
    <t>7x AWG 24</t>
  </si>
  <si>
    <t>8x AWG 24</t>
  </si>
  <si>
    <t>9x AWG 24</t>
  </si>
  <si>
    <t>10x AWG 24</t>
  </si>
  <si>
    <t>2x AWG 25</t>
  </si>
  <si>
    <t>3x AWG 25</t>
  </si>
  <si>
    <t>4x AWG 25</t>
  </si>
  <si>
    <t>5x AWG 25</t>
  </si>
  <si>
    <t>6x AWG 25</t>
  </si>
  <si>
    <t>7x AWG 25</t>
  </si>
  <si>
    <t>8x AWG 25</t>
  </si>
  <si>
    <t>9x AWG 25</t>
  </si>
  <si>
    <t>10x AWG 25</t>
  </si>
  <si>
    <t>2x AWG 22</t>
  </si>
  <si>
    <t>3x AWG 22</t>
  </si>
  <si>
    <t>4x AWG 22</t>
  </si>
  <si>
    <t>5x AWG 22</t>
  </si>
  <si>
    <t>6x AWG 22</t>
  </si>
  <si>
    <t>7x AWG 22</t>
  </si>
  <si>
    <t>8x AWG 22</t>
  </si>
  <si>
    <t>9x AWG 22</t>
  </si>
  <si>
    <t>10x AWG 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</si>
</sst>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3D472-F721-4166-9A47-1F6CC7955A0E}">
  <dimension ref="A1:G122"/>
  <sheetViews>
    <sheetView tabSelected="1" topLeftCell="A95" workbookViewId="0">
      <selection activeCell="E120" sqref="E120"/>
    </sheetView>
  </sheetViews>
  <sheetFormatPr defaultRowHeight="14.5" x14ac:dyDescent="0.35"/>
  <cols>
    <col min="1" max="1" width="10.90625" bestFit="1" customWidth="1"/>
    <col min="2" max="2" width="7.08984375" bestFit="1" customWidth="1"/>
    <col min="3" max="3" width="5.08984375" bestFit="1" customWidth="1"/>
    <col min="4" max="6" width="11.81640625" bestFit="1" customWidth="1"/>
    <col min="7" max="7" width="7.1796875" bestFit="1" customWidth="1"/>
  </cols>
  <sheetData>
    <row r="1" spans="1:7" x14ac:dyDescent="0.35">
      <c r="A1" t="s">
        <v>3</v>
      </c>
      <c r="B1" t="s">
        <v>0</v>
      </c>
      <c r="C1" t="s">
        <v>1</v>
      </c>
      <c r="D1" t="s">
        <v>4</v>
      </c>
      <c r="E1" t="s">
        <v>5</v>
      </c>
      <c r="F1" t="s">
        <v>2</v>
      </c>
      <c r="G1" t="s">
        <v>6</v>
      </c>
    </row>
    <row r="2" spans="1:7" x14ac:dyDescent="0.35">
      <c r="A2" t="s">
        <v>7</v>
      </c>
      <c r="B2">
        <v>1</v>
      </c>
      <c r="C2">
        <v>10</v>
      </c>
      <c r="D2">
        <v>5.2619999999999998E-6</v>
      </c>
      <c r="E2">
        <v>5.8571999999999996E-6</v>
      </c>
      <c r="F2">
        <v>3.2763919999999999E-3</v>
      </c>
      <c r="G2">
        <v>0</v>
      </c>
    </row>
    <row r="3" spans="1:7" x14ac:dyDescent="0.35">
      <c r="A3" t="s">
        <v>8</v>
      </c>
      <c r="B3">
        <v>1</v>
      </c>
      <c r="C3">
        <v>11</v>
      </c>
      <c r="D3">
        <v>4.1729000000000003E-6</v>
      </c>
      <c r="E3">
        <v>4.6738E-6</v>
      </c>
      <c r="F3">
        <v>4.1327999999999998E-3</v>
      </c>
      <c r="G3">
        <v>0</v>
      </c>
    </row>
    <row r="4" spans="1:7" x14ac:dyDescent="0.35">
      <c r="A4" t="s">
        <v>9</v>
      </c>
      <c r="B4">
        <v>1</v>
      </c>
      <c r="C4">
        <v>12</v>
      </c>
      <c r="D4">
        <v>3.3092E-6</v>
      </c>
      <c r="E4">
        <v>3.7309000000000001E-6</v>
      </c>
      <c r="F4">
        <v>5.2086399999999996E-3</v>
      </c>
      <c r="G4">
        <v>0</v>
      </c>
    </row>
    <row r="5" spans="1:7" x14ac:dyDescent="0.35">
      <c r="A5" t="s">
        <v>10</v>
      </c>
      <c r="B5">
        <v>1</v>
      </c>
      <c r="C5">
        <v>13</v>
      </c>
      <c r="D5">
        <v>2.6243E-6</v>
      </c>
      <c r="E5">
        <v>2.9793E-6</v>
      </c>
      <c r="F5">
        <v>6.5698400000000004E-3</v>
      </c>
      <c r="G5">
        <v>0</v>
      </c>
    </row>
    <row r="6" spans="1:7" x14ac:dyDescent="0.35">
      <c r="A6" t="s">
        <v>11</v>
      </c>
      <c r="B6">
        <v>1</v>
      </c>
      <c r="C6">
        <v>14</v>
      </c>
      <c r="D6">
        <v>2.0810999999999999E-6</v>
      </c>
      <c r="E6">
        <v>2.3800000000000001E-6</v>
      </c>
      <c r="F6">
        <v>8.2819999999999994E-3</v>
      </c>
      <c r="G6">
        <v>0</v>
      </c>
    </row>
    <row r="7" spans="1:7" x14ac:dyDescent="0.35">
      <c r="A7" t="s">
        <v>12</v>
      </c>
      <c r="B7">
        <v>1</v>
      </c>
      <c r="C7">
        <v>15</v>
      </c>
      <c r="D7">
        <v>1.6503999999999999E-6</v>
      </c>
      <c r="E7">
        <v>1.9021E-6</v>
      </c>
      <c r="F7">
        <v>1.044352E-2</v>
      </c>
      <c r="G7">
        <v>0</v>
      </c>
    </row>
    <row r="8" spans="1:7" x14ac:dyDescent="0.35">
      <c r="A8" t="s">
        <v>13</v>
      </c>
      <c r="B8">
        <v>1</v>
      </c>
      <c r="C8">
        <v>16</v>
      </c>
      <c r="D8">
        <v>1.3088000000000001E-6</v>
      </c>
      <c r="E8">
        <v>1.5206999999999999E-6</v>
      </c>
      <c r="F8">
        <v>1.317248E-2</v>
      </c>
      <c r="G8">
        <v>0</v>
      </c>
    </row>
    <row r="9" spans="1:7" x14ac:dyDescent="0.35">
      <c r="A9" t="s">
        <v>14</v>
      </c>
      <c r="B9">
        <v>1</v>
      </c>
      <c r="C9">
        <v>17</v>
      </c>
      <c r="D9">
        <v>1.0379E-6</v>
      </c>
      <c r="E9">
        <v>1.2163999999999999E-6</v>
      </c>
      <c r="F9">
        <v>1.660992E-2</v>
      </c>
      <c r="G9">
        <v>0</v>
      </c>
    </row>
    <row r="10" spans="1:7" x14ac:dyDescent="0.35">
      <c r="A10" t="s">
        <v>15</v>
      </c>
      <c r="B10">
        <v>1</v>
      </c>
      <c r="C10">
        <v>18</v>
      </c>
      <c r="D10">
        <v>8.2310000000000001E-7</v>
      </c>
      <c r="E10">
        <v>9.7350000000000008E-7</v>
      </c>
      <c r="F10">
        <v>2.0942800000000001E-2</v>
      </c>
      <c r="G10">
        <v>0</v>
      </c>
    </row>
    <row r="11" spans="1:7" x14ac:dyDescent="0.35">
      <c r="A11" t="s">
        <v>16</v>
      </c>
      <c r="B11">
        <v>1</v>
      </c>
      <c r="C11">
        <v>19</v>
      </c>
      <c r="D11">
        <v>6.5270000000000001E-7</v>
      </c>
      <c r="E11">
        <v>7.794E-7</v>
      </c>
      <c r="F11">
        <v>2.6407280000000002E-2</v>
      </c>
      <c r="G11">
        <v>0</v>
      </c>
    </row>
    <row r="12" spans="1:7" x14ac:dyDescent="0.35">
      <c r="A12" t="s">
        <v>17</v>
      </c>
      <c r="B12">
        <v>1</v>
      </c>
      <c r="C12">
        <v>20</v>
      </c>
      <c r="D12">
        <v>5.1760000000000003E-7</v>
      </c>
      <c r="E12">
        <v>6.2440000000000001E-7</v>
      </c>
      <c r="F12">
        <v>3.3292000000000002E-2</v>
      </c>
      <c r="G12">
        <v>0</v>
      </c>
    </row>
    <row r="13" spans="1:7" x14ac:dyDescent="0.35">
      <c r="A13" t="s">
        <v>18</v>
      </c>
      <c r="B13">
        <v>1</v>
      </c>
      <c r="C13">
        <v>21</v>
      </c>
      <c r="D13">
        <v>4.1049999999999998E-7</v>
      </c>
      <c r="E13">
        <v>5.0040000000000001E-7</v>
      </c>
      <c r="F13">
        <v>4.1984E-2</v>
      </c>
      <c r="G13">
        <v>0</v>
      </c>
    </row>
    <row r="14" spans="1:7" x14ac:dyDescent="0.35">
      <c r="A14" t="s">
        <v>19</v>
      </c>
      <c r="B14">
        <v>1</v>
      </c>
      <c r="C14">
        <v>22</v>
      </c>
      <c r="D14">
        <v>3.255E-7</v>
      </c>
      <c r="E14">
        <v>4.0129999999999997E-7</v>
      </c>
      <c r="F14">
        <v>5.2939199999999999E-2</v>
      </c>
      <c r="G14">
        <v>0</v>
      </c>
    </row>
    <row r="15" spans="1:7" x14ac:dyDescent="0.35">
      <c r="A15" t="s">
        <v>119</v>
      </c>
      <c r="B15">
        <v>2</v>
      </c>
      <c r="C15">
        <v>22</v>
      </c>
      <c r="D15">
        <v>6.5099999999999999E-7</v>
      </c>
      <c r="E15">
        <v>8.0259999999999995E-7</v>
      </c>
      <c r="F15">
        <v>2.6469599999999999E-2</v>
      </c>
      <c r="G15">
        <v>1</v>
      </c>
    </row>
    <row r="16" spans="1:7" x14ac:dyDescent="0.35">
      <c r="A16" t="s">
        <v>120</v>
      </c>
      <c r="B16">
        <v>3</v>
      </c>
      <c r="C16">
        <v>22</v>
      </c>
      <c r="D16">
        <v>9.7649999999999988E-7</v>
      </c>
      <c r="E16">
        <v>1.2039E-6</v>
      </c>
      <c r="F16">
        <v>1.76464E-2</v>
      </c>
      <c r="G16">
        <v>1</v>
      </c>
    </row>
    <row r="17" spans="1:7" x14ac:dyDescent="0.35">
      <c r="A17" t="s">
        <v>121</v>
      </c>
      <c r="B17">
        <v>4</v>
      </c>
      <c r="C17">
        <v>22</v>
      </c>
      <c r="D17">
        <v>1.302E-6</v>
      </c>
      <c r="E17">
        <v>1.6051999999999999E-6</v>
      </c>
      <c r="F17">
        <v>1.32348E-2</v>
      </c>
      <c r="G17">
        <v>1</v>
      </c>
    </row>
    <row r="18" spans="1:7" x14ac:dyDescent="0.35">
      <c r="A18" t="s">
        <v>122</v>
      </c>
      <c r="B18">
        <v>5</v>
      </c>
      <c r="C18">
        <v>22</v>
      </c>
      <c r="D18">
        <v>1.6275000000000001E-6</v>
      </c>
      <c r="E18">
        <v>2.0064999999999998E-6</v>
      </c>
      <c r="F18">
        <v>1.0587839999999999E-2</v>
      </c>
      <c r="G18">
        <v>1</v>
      </c>
    </row>
    <row r="19" spans="1:7" x14ac:dyDescent="0.35">
      <c r="A19" t="s">
        <v>123</v>
      </c>
      <c r="B19">
        <v>6</v>
      </c>
      <c r="C19">
        <v>22</v>
      </c>
      <c r="D19">
        <v>1.9529999999999998E-6</v>
      </c>
      <c r="E19">
        <v>2.4078000000000001E-6</v>
      </c>
      <c r="F19">
        <v>8.8231999999999998E-3</v>
      </c>
      <c r="G19">
        <v>1</v>
      </c>
    </row>
    <row r="20" spans="1:7" x14ac:dyDescent="0.35">
      <c r="A20" t="s">
        <v>124</v>
      </c>
      <c r="B20">
        <v>7</v>
      </c>
      <c r="C20">
        <v>22</v>
      </c>
      <c r="D20">
        <v>2.2784999999999999E-6</v>
      </c>
      <c r="E20">
        <v>2.8090999999999999E-6</v>
      </c>
      <c r="F20">
        <v>7.5627428571428566E-3</v>
      </c>
      <c r="G20">
        <v>1</v>
      </c>
    </row>
    <row r="21" spans="1:7" x14ac:dyDescent="0.35">
      <c r="A21" t="s">
        <v>125</v>
      </c>
      <c r="B21">
        <v>8</v>
      </c>
      <c r="C21">
        <v>22</v>
      </c>
      <c r="D21">
        <v>2.604E-6</v>
      </c>
      <c r="E21">
        <v>3.2103999999999998E-6</v>
      </c>
      <c r="F21">
        <v>6.6173999999999998E-3</v>
      </c>
      <c r="G21">
        <v>1</v>
      </c>
    </row>
    <row r="22" spans="1:7" x14ac:dyDescent="0.35">
      <c r="A22" t="s">
        <v>126</v>
      </c>
      <c r="B22">
        <v>9</v>
      </c>
      <c r="C22">
        <v>22</v>
      </c>
      <c r="D22">
        <v>2.9295000000000001E-6</v>
      </c>
      <c r="E22">
        <v>3.6116999999999997E-6</v>
      </c>
      <c r="F22">
        <v>5.8821333333333335E-3</v>
      </c>
      <c r="G22">
        <v>1</v>
      </c>
    </row>
    <row r="23" spans="1:7" x14ac:dyDescent="0.35">
      <c r="A23" t="s">
        <v>127</v>
      </c>
      <c r="B23">
        <v>10</v>
      </c>
      <c r="C23">
        <v>22</v>
      </c>
      <c r="D23">
        <v>3.2550000000000002E-6</v>
      </c>
      <c r="E23">
        <v>4.0129999999999995E-6</v>
      </c>
      <c r="F23">
        <v>5.2939199999999997E-3</v>
      </c>
      <c r="G23">
        <v>1</v>
      </c>
    </row>
    <row r="24" spans="1:7" x14ac:dyDescent="0.35">
      <c r="A24" t="s">
        <v>20</v>
      </c>
      <c r="B24">
        <v>1</v>
      </c>
      <c r="C24">
        <v>23</v>
      </c>
      <c r="D24">
        <v>2.5820000000000002E-7</v>
      </c>
      <c r="E24">
        <v>3.2210000000000001E-7</v>
      </c>
      <c r="F24">
        <v>6.6780800000000001E-2</v>
      </c>
      <c r="G24">
        <v>0</v>
      </c>
    </row>
    <row r="25" spans="1:7" x14ac:dyDescent="0.35">
      <c r="A25" t="s">
        <v>92</v>
      </c>
      <c r="B25">
        <v>2</v>
      </c>
      <c r="C25">
        <v>23</v>
      </c>
      <c r="D25">
        <v>5.1640000000000004E-7</v>
      </c>
      <c r="E25">
        <v>6.4420000000000001E-7</v>
      </c>
      <c r="F25">
        <v>3.3390400000000001E-2</v>
      </c>
      <c r="G25">
        <v>1</v>
      </c>
    </row>
    <row r="26" spans="1:7" x14ac:dyDescent="0.35">
      <c r="A26" t="s">
        <v>93</v>
      </c>
      <c r="B26">
        <v>3</v>
      </c>
      <c r="C26">
        <v>23</v>
      </c>
      <c r="D26">
        <v>7.7460000000000007E-7</v>
      </c>
      <c r="E26">
        <v>9.6629999999999996E-7</v>
      </c>
      <c r="F26">
        <v>2.2260266666666667E-2</v>
      </c>
      <c r="G26">
        <v>1</v>
      </c>
    </row>
    <row r="27" spans="1:7" x14ac:dyDescent="0.35">
      <c r="A27" t="s">
        <v>94</v>
      </c>
      <c r="B27">
        <v>4</v>
      </c>
      <c r="C27">
        <v>23</v>
      </c>
      <c r="D27">
        <v>1.0328000000000001E-6</v>
      </c>
      <c r="E27">
        <v>1.2884E-6</v>
      </c>
      <c r="F27">
        <v>1.66952E-2</v>
      </c>
      <c r="G27">
        <v>1</v>
      </c>
    </row>
    <row r="28" spans="1:7" x14ac:dyDescent="0.35">
      <c r="A28" t="s">
        <v>95</v>
      </c>
      <c r="B28">
        <v>5</v>
      </c>
      <c r="C28">
        <v>23</v>
      </c>
      <c r="D28">
        <v>1.291E-6</v>
      </c>
      <c r="E28">
        <v>1.6105000000000001E-6</v>
      </c>
      <c r="F28">
        <v>1.3356160000000001E-2</v>
      </c>
      <c r="G28">
        <v>1</v>
      </c>
    </row>
    <row r="29" spans="1:7" x14ac:dyDescent="0.35">
      <c r="A29" t="s">
        <v>96</v>
      </c>
      <c r="B29">
        <v>6</v>
      </c>
      <c r="C29">
        <v>23</v>
      </c>
      <c r="D29">
        <v>1.5492000000000001E-6</v>
      </c>
      <c r="E29">
        <v>1.9325999999999999E-6</v>
      </c>
      <c r="F29">
        <v>1.1130133333333334E-2</v>
      </c>
      <c r="G29">
        <v>1</v>
      </c>
    </row>
    <row r="30" spans="1:7" x14ac:dyDescent="0.35">
      <c r="A30" t="s">
        <v>97</v>
      </c>
      <c r="B30">
        <v>7</v>
      </c>
      <c r="C30">
        <v>23</v>
      </c>
      <c r="D30">
        <v>1.8074000000000003E-6</v>
      </c>
      <c r="E30">
        <v>2.2547000000000002E-6</v>
      </c>
      <c r="F30">
        <v>9.5401142857142861E-3</v>
      </c>
      <c r="G30">
        <v>1</v>
      </c>
    </row>
    <row r="31" spans="1:7" x14ac:dyDescent="0.35">
      <c r="A31" t="s">
        <v>98</v>
      </c>
      <c r="B31">
        <v>8</v>
      </c>
      <c r="C31">
        <v>23</v>
      </c>
      <c r="D31">
        <v>2.0656000000000002E-6</v>
      </c>
      <c r="E31">
        <v>2.5768E-6</v>
      </c>
      <c r="F31">
        <v>8.3476000000000002E-3</v>
      </c>
      <c r="G31">
        <v>1</v>
      </c>
    </row>
    <row r="32" spans="1:7" x14ac:dyDescent="0.35">
      <c r="A32" t="s">
        <v>99</v>
      </c>
      <c r="B32">
        <v>9</v>
      </c>
      <c r="C32">
        <v>23</v>
      </c>
      <c r="D32">
        <v>2.3238000000000001E-6</v>
      </c>
      <c r="E32">
        <v>2.8988999999999999E-6</v>
      </c>
      <c r="F32">
        <v>7.4200888888888887E-3</v>
      </c>
      <c r="G32">
        <v>1</v>
      </c>
    </row>
    <row r="33" spans="1:7" x14ac:dyDescent="0.35">
      <c r="A33" t="s">
        <v>100</v>
      </c>
      <c r="B33">
        <v>10</v>
      </c>
      <c r="C33">
        <v>23</v>
      </c>
      <c r="D33">
        <v>2.582E-6</v>
      </c>
      <c r="E33">
        <v>3.2210000000000002E-6</v>
      </c>
      <c r="F33">
        <v>6.6780800000000003E-3</v>
      </c>
      <c r="G33">
        <v>1</v>
      </c>
    </row>
    <row r="34" spans="1:7" x14ac:dyDescent="0.35">
      <c r="A34" t="s">
        <v>21</v>
      </c>
      <c r="B34">
        <v>1</v>
      </c>
      <c r="C34">
        <v>24</v>
      </c>
      <c r="D34">
        <v>2.047E-7</v>
      </c>
      <c r="E34">
        <v>2.586E-7</v>
      </c>
      <c r="F34">
        <v>8.4197599999999997E-2</v>
      </c>
      <c r="G34">
        <v>0</v>
      </c>
    </row>
    <row r="35" spans="1:7" x14ac:dyDescent="0.35">
      <c r="A35" t="s">
        <v>101</v>
      </c>
      <c r="B35">
        <v>2</v>
      </c>
      <c r="C35">
        <v>24</v>
      </c>
      <c r="D35">
        <v>4.094E-7</v>
      </c>
      <c r="E35">
        <v>5.172E-7</v>
      </c>
      <c r="F35">
        <v>4.2098799999999999E-2</v>
      </c>
      <c r="G35">
        <v>1</v>
      </c>
    </row>
    <row r="36" spans="1:7" x14ac:dyDescent="0.35">
      <c r="A36" t="s">
        <v>102</v>
      </c>
      <c r="B36">
        <v>3</v>
      </c>
      <c r="C36">
        <v>24</v>
      </c>
      <c r="D36">
        <v>6.1409999999999997E-7</v>
      </c>
      <c r="E36">
        <v>7.7580000000000005E-7</v>
      </c>
      <c r="F36">
        <v>2.8065866666666665E-2</v>
      </c>
      <c r="G36">
        <v>1</v>
      </c>
    </row>
    <row r="37" spans="1:7" x14ac:dyDescent="0.35">
      <c r="A37" t="s">
        <v>103</v>
      </c>
      <c r="B37">
        <v>4</v>
      </c>
      <c r="C37">
        <v>24</v>
      </c>
      <c r="D37">
        <v>8.188E-7</v>
      </c>
      <c r="E37">
        <v>1.0344E-6</v>
      </c>
      <c r="F37">
        <v>2.1049399999999999E-2</v>
      </c>
      <c r="G37">
        <v>1</v>
      </c>
    </row>
    <row r="38" spans="1:7" x14ac:dyDescent="0.35">
      <c r="A38" t="s">
        <v>104</v>
      </c>
      <c r="B38">
        <v>5</v>
      </c>
      <c r="C38">
        <v>24</v>
      </c>
      <c r="D38">
        <v>1.0235E-6</v>
      </c>
      <c r="E38">
        <v>1.2929999999999999E-6</v>
      </c>
      <c r="F38">
        <v>1.683952E-2</v>
      </c>
      <c r="G38">
        <v>1</v>
      </c>
    </row>
    <row r="39" spans="1:7" x14ac:dyDescent="0.35">
      <c r="A39" t="s">
        <v>105</v>
      </c>
      <c r="B39">
        <v>6</v>
      </c>
      <c r="C39">
        <v>24</v>
      </c>
      <c r="D39">
        <v>1.2281999999999999E-6</v>
      </c>
      <c r="E39">
        <v>1.5516000000000001E-6</v>
      </c>
      <c r="F39">
        <v>1.4032933333333332E-2</v>
      </c>
      <c r="G39">
        <v>1</v>
      </c>
    </row>
    <row r="40" spans="1:7" x14ac:dyDescent="0.35">
      <c r="A40" t="s">
        <v>106</v>
      </c>
      <c r="B40">
        <v>7</v>
      </c>
      <c r="C40">
        <v>24</v>
      </c>
      <c r="D40">
        <v>1.4329000000000001E-6</v>
      </c>
      <c r="E40">
        <v>1.8102E-6</v>
      </c>
      <c r="F40">
        <v>1.2028228571428571E-2</v>
      </c>
      <c r="G40">
        <v>1</v>
      </c>
    </row>
    <row r="41" spans="1:7" x14ac:dyDescent="0.35">
      <c r="A41" t="s">
        <v>107</v>
      </c>
      <c r="B41">
        <v>8</v>
      </c>
      <c r="C41">
        <v>24</v>
      </c>
      <c r="D41">
        <v>1.6376E-6</v>
      </c>
      <c r="E41">
        <v>2.0688E-6</v>
      </c>
      <c r="F41">
        <v>1.05247E-2</v>
      </c>
      <c r="G41">
        <v>1</v>
      </c>
    </row>
    <row r="42" spans="1:7" x14ac:dyDescent="0.35">
      <c r="A42" t="s">
        <v>108</v>
      </c>
      <c r="B42">
        <v>9</v>
      </c>
      <c r="C42">
        <v>24</v>
      </c>
      <c r="D42">
        <v>1.8422999999999999E-6</v>
      </c>
      <c r="E42">
        <v>2.3273999999999999E-6</v>
      </c>
      <c r="F42">
        <v>9.3552888888888894E-3</v>
      </c>
      <c r="G42">
        <v>1</v>
      </c>
    </row>
    <row r="43" spans="1:7" x14ac:dyDescent="0.35">
      <c r="A43" t="s">
        <v>109</v>
      </c>
      <c r="B43">
        <v>10</v>
      </c>
      <c r="C43">
        <v>24</v>
      </c>
      <c r="D43">
        <v>2.0470000000000001E-6</v>
      </c>
      <c r="E43">
        <v>2.5859999999999999E-6</v>
      </c>
      <c r="F43">
        <v>8.4197600000000001E-3</v>
      </c>
      <c r="G43">
        <v>1</v>
      </c>
    </row>
    <row r="44" spans="1:7" x14ac:dyDescent="0.35">
      <c r="A44" t="s">
        <v>22</v>
      </c>
      <c r="B44">
        <v>1</v>
      </c>
      <c r="C44">
        <v>25</v>
      </c>
      <c r="D44">
        <v>1.624E-7</v>
      </c>
      <c r="E44">
        <v>2.0779999999999999E-7</v>
      </c>
      <c r="F44">
        <v>0.10617360000000001</v>
      </c>
      <c r="G44">
        <v>0</v>
      </c>
    </row>
    <row r="45" spans="1:7" x14ac:dyDescent="0.35">
      <c r="A45" t="s">
        <v>110</v>
      </c>
      <c r="B45">
        <v>2</v>
      </c>
      <c r="C45">
        <v>25</v>
      </c>
      <c r="D45">
        <v>3.248E-7</v>
      </c>
      <c r="E45">
        <v>4.1559999999999999E-7</v>
      </c>
      <c r="F45">
        <v>5.3086800000000003E-2</v>
      </c>
      <c r="G45">
        <v>1</v>
      </c>
    </row>
    <row r="46" spans="1:7" x14ac:dyDescent="0.35">
      <c r="A46" t="s">
        <v>111</v>
      </c>
      <c r="B46">
        <v>3</v>
      </c>
      <c r="C46">
        <v>25</v>
      </c>
      <c r="D46">
        <v>4.8719999999999997E-7</v>
      </c>
      <c r="E46">
        <v>6.2340000000000004E-7</v>
      </c>
      <c r="F46">
        <v>3.5391200000000005E-2</v>
      </c>
      <c r="G46">
        <v>1</v>
      </c>
    </row>
    <row r="47" spans="1:7" x14ac:dyDescent="0.35">
      <c r="A47" t="s">
        <v>112</v>
      </c>
      <c r="B47">
        <v>4</v>
      </c>
      <c r="C47">
        <v>25</v>
      </c>
      <c r="D47">
        <v>6.4959999999999999E-7</v>
      </c>
      <c r="E47">
        <v>8.3119999999999998E-7</v>
      </c>
      <c r="F47">
        <v>2.6543400000000002E-2</v>
      </c>
      <c r="G47">
        <v>1</v>
      </c>
    </row>
    <row r="48" spans="1:7" x14ac:dyDescent="0.35">
      <c r="A48" t="s">
        <v>113</v>
      </c>
      <c r="B48">
        <v>5</v>
      </c>
      <c r="C48">
        <v>25</v>
      </c>
      <c r="D48">
        <v>8.1200000000000002E-7</v>
      </c>
      <c r="E48">
        <v>1.0389999999999999E-6</v>
      </c>
      <c r="F48">
        <v>2.1234720000000002E-2</v>
      </c>
      <c r="G48">
        <v>1</v>
      </c>
    </row>
    <row r="49" spans="1:7" x14ac:dyDescent="0.35">
      <c r="A49" t="s">
        <v>114</v>
      </c>
      <c r="B49">
        <v>6</v>
      </c>
      <c r="C49">
        <v>25</v>
      </c>
      <c r="D49">
        <v>9.7439999999999994E-7</v>
      </c>
      <c r="E49">
        <v>1.2468000000000001E-6</v>
      </c>
      <c r="F49">
        <v>1.7695600000000002E-2</v>
      </c>
      <c r="G49">
        <v>1</v>
      </c>
    </row>
    <row r="50" spans="1:7" x14ac:dyDescent="0.35">
      <c r="A50" t="s">
        <v>115</v>
      </c>
      <c r="B50">
        <v>7</v>
      </c>
      <c r="C50">
        <v>25</v>
      </c>
      <c r="D50">
        <v>1.1368000000000001E-6</v>
      </c>
      <c r="E50">
        <v>1.4546E-6</v>
      </c>
      <c r="F50">
        <v>1.5167657142857144E-2</v>
      </c>
      <c r="G50">
        <v>1</v>
      </c>
    </row>
    <row r="51" spans="1:7" x14ac:dyDescent="0.35">
      <c r="A51" t="s">
        <v>116</v>
      </c>
      <c r="B51">
        <v>8</v>
      </c>
      <c r="C51">
        <v>25</v>
      </c>
      <c r="D51">
        <v>1.2992E-6</v>
      </c>
      <c r="E51">
        <v>1.6624E-6</v>
      </c>
      <c r="F51">
        <v>1.3271700000000001E-2</v>
      </c>
      <c r="G51">
        <v>1</v>
      </c>
    </row>
    <row r="52" spans="1:7" x14ac:dyDescent="0.35">
      <c r="A52" t="s">
        <v>117</v>
      </c>
      <c r="B52">
        <v>9</v>
      </c>
      <c r="C52">
        <v>25</v>
      </c>
      <c r="D52">
        <v>1.4615999999999999E-6</v>
      </c>
      <c r="E52">
        <v>1.8701999999999999E-6</v>
      </c>
      <c r="F52">
        <v>1.1797066666666668E-2</v>
      </c>
      <c r="G52">
        <v>1</v>
      </c>
    </row>
    <row r="53" spans="1:7" x14ac:dyDescent="0.35">
      <c r="A53" t="s">
        <v>118</v>
      </c>
      <c r="B53">
        <v>10</v>
      </c>
      <c r="C53">
        <v>25</v>
      </c>
      <c r="D53">
        <v>1.624E-6</v>
      </c>
      <c r="E53">
        <v>2.0779999999999998E-6</v>
      </c>
      <c r="F53">
        <v>1.0617360000000001E-2</v>
      </c>
      <c r="G53">
        <v>1</v>
      </c>
    </row>
    <row r="54" spans="1:7" x14ac:dyDescent="0.35">
      <c r="A54" t="s">
        <v>23</v>
      </c>
      <c r="B54">
        <v>1</v>
      </c>
      <c r="C54">
        <v>26</v>
      </c>
      <c r="D54">
        <v>1.2870000000000001E-7</v>
      </c>
      <c r="E54">
        <v>1.6710000000000001E-7</v>
      </c>
      <c r="F54">
        <v>0.1338568</v>
      </c>
      <c r="G54">
        <v>0</v>
      </c>
    </row>
    <row r="55" spans="1:7" x14ac:dyDescent="0.35">
      <c r="A55" t="s">
        <v>83</v>
      </c>
      <c r="B55">
        <v>2</v>
      </c>
      <c r="C55">
        <v>26</v>
      </c>
      <c r="D55">
        <v>2.5740000000000002E-7</v>
      </c>
      <c r="E55">
        <v>3.3420000000000001E-7</v>
      </c>
      <c r="F55">
        <v>6.6928399999999999E-2</v>
      </c>
      <c r="G55">
        <v>1</v>
      </c>
    </row>
    <row r="56" spans="1:7" x14ac:dyDescent="0.35">
      <c r="A56" t="s">
        <v>84</v>
      </c>
      <c r="B56">
        <v>3</v>
      </c>
      <c r="C56">
        <v>26</v>
      </c>
      <c r="D56">
        <v>3.861E-7</v>
      </c>
      <c r="E56">
        <v>5.0129999999999997E-7</v>
      </c>
      <c r="F56">
        <v>4.4618933333333333E-2</v>
      </c>
      <c r="G56">
        <v>1</v>
      </c>
    </row>
    <row r="57" spans="1:7" x14ac:dyDescent="0.35">
      <c r="A57" t="s">
        <v>85</v>
      </c>
      <c r="B57">
        <v>4</v>
      </c>
      <c r="C57">
        <v>26</v>
      </c>
      <c r="D57">
        <v>5.1480000000000003E-7</v>
      </c>
      <c r="E57">
        <v>6.6840000000000003E-7</v>
      </c>
      <c r="F57">
        <v>3.34642E-2</v>
      </c>
      <c r="G57">
        <v>1</v>
      </c>
    </row>
    <row r="58" spans="1:7" x14ac:dyDescent="0.35">
      <c r="A58" t="s">
        <v>86</v>
      </c>
      <c r="B58">
        <v>5</v>
      </c>
      <c r="C58">
        <v>26</v>
      </c>
      <c r="D58">
        <v>6.4350000000000006E-7</v>
      </c>
      <c r="E58">
        <v>8.3550000000000009E-7</v>
      </c>
      <c r="F58">
        <v>2.6771360000000001E-2</v>
      </c>
      <c r="G58">
        <v>1</v>
      </c>
    </row>
    <row r="59" spans="1:7" x14ac:dyDescent="0.35">
      <c r="A59" t="s">
        <v>87</v>
      </c>
      <c r="B59">
        <v>6</v>
      </c>
      <c r="C59">
        <v>26</v>
      </c>
      <c r="D59">
        <v>7.7219999999999999E-7</v>
      </c>
      <c r="E59">
        <v>1.0025999999999999E-6</v>
      </c>
      <c r="F59">
        <v>2.2309466666666666E-2</v>
      </c>
      <c r="G59">
        <v>1</v>
      </c>
    </row>
    <row r="60" spans="1:7" x14ac:dyDescent="0.35">
      <c r="A60" t="s">
        <v>88</v>
      </c>
      <c r="B60">
        <v>7</v>
      </c>
      <c r="C60">
        <v>26</v>
      </c>
      <c r="D60">
        <v>9.0090000000000003E-7</v>
      </c>
      <c r="E60">
        <v>1.1697E-6</v>
      </c>
      <c r="F60">
        <v>1.9122400000000001E-2</v>
      </c>
      <c r="G60">
        <v>1</v>
      </c>
    </row>
    <row r="61" spans="1:7" x14ac:dyDescent="0.35">
      <c r="A61" t="s">
        <v>89</v>
      </c>
      <c r="B61">
        <v>8</v>
      </c>
      <c r="C61">
        <v>26</v>
      </c>
      <c r="D61">
        <v>1.0296000000000001E-6</v>
      </c>
      <c r="E61">
        <v>1.3368000000000001E-6</v>
      </c>
      <c r="F61">
        <v>1.67321E-2</v>
      </c>
      <c r="G61">
        <v>1</v>
      </c>
    </row>
    <row r="62" spans="1:7" x14ac:dyDescent="0.35">
      <c r="A62" t="s">
        <v>90</v>
      </c>
      <c r="B62">
        <v>9</v>
      </c>
      <c r="C62">
        <v>26</v>
      </c>
      <c r="D62">
        <v>1.1583E-6</v>
      </c>
      <c r="E62">
        <v>1.5039000000000001E-6</v>
      </c>
      <c r="F62">
        <v>1.4872977777777777E-2</v>
      </c>
      <c r="G62">
        <v>1</v>
      </c>
    </row>
    <row r="63" spans="1:7" x14ac:dyDescent="0.35">
      <c r="A63" t="s">
        <v>91</v>
      </c>
      <c r="B63">
        <v>10</v>
      </c>
      <c r="C63">
        <v>26</v>
      </c>
      <c r="D63">
        <v>1.2870000000000001E-6</v>
      </c>
      <c r="E63">
        <v>1.6710000000000002E-6</v>
      </c>
      <c r="F63">
        <v>1.338568E-2</v>
      </c>
      <c r="G63">
        <v>1</v>
      </c>
    </row>
    <row r="64" spans="1:7" x14ac:dyDescent="0.35">
      <c r="A64" t="s">
        <v>24</v>
      </c>
      <c r="B64">
        <v>1</v>
      </c>
      <c r="C64">
        <v>27</v>
      </c>
      <c r="D64">
        <v>1.0209999999999999E-7</v>
      </c>
      <c r="E64">
        <v>1.3440000000000001E-7</v>
      </c>
      <c r="F64">
        <v>0.16882159999999999</v>
      </c>
      <c r="G64">
        <v>0</v>
      </c>
    </row>
    <row r="65" spans="1:7" x14ac:dyDescent="0.35">
      <c r="A65" t="s">
        <v>65</v>
      </c>
      <c r="B65">
        <v>2</v>
      </c>
      <c r="C65">
        <v>27</v>
      </c>
      <c r="D65">
        <v>2.0419999999999999E-7</v>
      </c>
      <c r="E65">
        <v>2.6880000000000002E-7</v>
      </c>
      <c r="F65">
        <v>8.4410799999999994E-2</v>
      </c>
      <c r="G65">
        <v>1</v>
      </c>
    </row>
    <row r="66" spans="1:7" x14ac:dyDescent="0.35">
      <c r="A66" t="s">
        <v>66</v>
      </c>
      <c r="B66">
        <v>3</v>
      </c>
      <c r="C66">
        <v>27</v>
      </c>
      <c r="D66">
        <v>3.0629999999999998E-7</v>
      </c>
      <c r="E66">
        <v>4.0320000000000001E-7</v>
      </c>
      <c r="F66">
        <v>5.6273866666666665E-2</v>
      </c>
      <c r="G66">
        <v>1</v>
      </c>
    </row>
    <row r="67" spans="1:7" x14ac:dyDescent="0.35">
      <c r="A67" t="s">
        <v>67</v>
      </c>
      <c r="B67">
        <v>4</v>
      </c>
      <c r="C67">
        <v>27</v>
      </c>
      <c r="D67">
        <v>4.0839999999999998E-7</v>
      </c>
      <c r="E67">
        <v>5.3760000000000005E-7</v>
      </c>
      <c r="F67">
        <v>4.2205399999999997E-2</v>
      </c>
      <c r="G67">
        <v>1</v>
      </c>
    </row>
    <row r="68" spans="1:7" x14ac:dyDescent="0.35">
      <c r="A68" t="s">
        <v>68</v>
      </c>
      <c r="B68">
        <v>5</v>
      </c>
      <c r="C68">
        <v>27</v>
      </c>
      <c r="D68">
        <v>5.1050000000000003E-7</v>
      </c>
      <c r="E68">
        <v>6.7200000000000009E-7</v>
      </c>
      <c r="F68">
        <v>3.376432E-2</v>
      </c>
      <c r="G68">
        <v>1</v>
      </c>
    </row>
    <row r="69" spans="1:7" x14ac:dyDescent="0.35">
      <c r="A69" t="s">
        <v>69</v>
      </c>
      <c r="B69">
        <v>6</v>
      </c>
      <c r="C69">
        <v>27</v>
      </c>
      <c r="D69">
        <v>6.1259999999999997E-7</v>
      </c>
      <c r="E69">
        <v>8.0640000000000002E-7</v>
      </c>
      <c r="F69">
        <v>2.8136933333333333E-2</v>
      </c>
      <c r="G69">
        <v>1</v>
      </c>
    </row>
    <row r="70" spans="1:7" x14ac:dyDescent="0.35">
      <c r="A70" t="s">
        <v>70</v>
      </c>
      <c r="B70">
        <v>7</v>
      </c>
      <c r="C70">
        <v>27</v>
      </c>
      <c r="D70">
        <v>7.1469999999999991E-7</v>
      </c>
      <c r="E70">
        <v>9.4080000000000006E-7</v>
      </c>
      <c r="F70">
        <v>2.4117371428571427E-2</v>
      </c>
      <c r="G70">
        <v>1</v>
      </c>
    </row>
    <row r="71" spans="1:7" x14ac:dyDescent="0.35">
      <c r="A71" t="s">
        <v>71</v>
      </c>
      <c r="B71">
        <v>8</v>
      </c>
      <c r="C71">
        <v>27</v>
      </c>
      <c r="D71">
        <v>8.1679999999999996E-7</v>
      </c>
      <c r="E71">
        <v>1.0752000000000001E-6</v>
      </c>
      <c r="F71">
        <v>2.1102699999999999E-2</v>
      </c>
      <c r="G71">
        <v>1</v>
      </c>
    </row>
    <row r="72" spans="1:7" x14ac:dyDescent="0.35">
      <c r="A72" t="s">
        <v>72</v>
      </c>
      <c r="B72">
        <v>9</v>
      </c>
      <c r="C72">
        <v>27</v>
      </c>
      <c r="D72">
        <v>9.189E-7</v>
      </c>
      <c r="E72">
        <v>1.2096E-6</v>
      </c>
      <c r="F72">
        <v>1.8757955555555553E-2</v>
      </c>
      <c r="G72">
        <v>1</v>
      </c>
    </row>
    <row r="73" spans="1:7" x14ac:dyDescent="0.35">
      <c r="A73" t="s">
        <v>73</v>
      </c>
      <c r="B73">
        <v>10</v>
      </c>
      <c r="C73">
        <v>27</v>
      </c>
      <c r="D73">
        <v>1.0210000000000001E-6</v>
      </c>
      <c r="E73">
        <v>1.3440000000000002E-6</v>
      </c>
      <c r="F73">
        <v>1.688216E-2</v>
      </c>
      <c r="G73">
        <v>1</v>
      </c>
    </row>
    <row r="74" spans="1:7" x14ac:dyDescent="0.35">
      <c r="A74" t="s">
        <v>25</v>
      </c>
      <c r="B74">
        <v>1</v>
      </c>
      <c r="C74">
        <v>28</v>
      </c>
      <c r="D74">
        <v>8.0999999999999997E-8</v>
      </c>
      <c r="E74">
        <v>1.083E-7</v>
      </c>
      <c r="F74">
        <v>0.21287200000000001</v>
      </c>
      <c r="G74">
        <v>0</v>
      </c>
    </row>
    <row r="75" spans="1:7" x14ac:dyDescent="0.35">
      <c r="A75" t="s">
        <v>74</v>
      </c>
      <c r="B75">
        <v>2</v>
      </c>
      <c r="C75">
        <v>28</v>
      </c>
      <c r="D75">
        <v>1.6199999999999999E-7</v>
      </c>
      <c r="E75">
        <v>2.1659999999999999E-7</v>
      </c>
      <c r="F75">
        <v>0.106436</v>
      </c>
      <c r="G75">
        <v>1</v>
      </c>
    </row>
    <row r="76" spans="1:7" x14ac:dyDescent="0.35">
      <c r="A76" t="s">
        <v>75</v>
      </c>
      <c r="B76">
        <v>3</v>
      </c>
      <c r="C76">
        <v>28</v>
      </c>
      <c r="D76">
        <v>2.4299999999999999E-7</v>
      </c>
      <c r="E76">
        <v>3.249E-7</v>
      </c>
      <c r="F76">
        <v>7.0957333333333331E-2</v>
      </c>
      <c r="G76">
        <v>1</v>
      </c>
    </row>
    <row r="77" spans="1:7" x14ac:dyDescent="0.35">
      <c r="A77" t="s">
        <v>76</v>
      </c>
      <c r="B77">
        <v>4</v>
      </c>
      <c r="C77">
        <v>28</v>
      </c>
      <c r="D77">
        <v>3.2399999999999999E-7</v>
      </c>
      <c r="E77">
        <v>4.3319999999999999E-7</v>
      </c>
      <c r="F77">
        <v>5.3218000000000001E-2</v>
      </c>
      <c r="G77">
        <v>1</v>
      </c>
    </row>
    <row r="78" spans="1:7" x14ac:dyDescent="0.35">
      <c r="A78" t="s">
        <v>77</v>
      </c>
      <c r="B78">
        <v>5</v>
      </c>
      <c r="C78">
        <v>28</v>
      </c>
      <c r="D78">
        <v>4.0499999999999999E-7</v>
      </c>
      <c r="E78">
        <v>5.4150000000000002E-7</v>
      </c>
      <c r="F78">
        <v>4.2574399999999998E-2</v>
      </c>
      <c r="G78">
        <v>1</v>
      </c>
    </row>
    <row r="79" spans="1:7" x14ac:dyDescent="0.35">
      <c r="A79" t="s">
        <v>78</v>
      </c>
      <c r="B79">
        <v>6</v>
      </c>
      <c r="C79">
        <v>28</v>
      </c>
      <c r="D79">
        <v>4.8599999999999998E-7</v>
      </c>
      <c r="E79">
        <v>6.4980000000000001E-7</v>
      </c>
      <c r="F79">
        <v>3.5478666666666665E-2</v>
      </c>
      <c r="G79">
        <v>1</v>
      </c>
    </row>
    <row r="80" spans="1:7" x14ac:dyDescent="0.35">
      <c r="A80" t="s">
        <v>79</v>
      </c>
      <c r="B80">
        <v>7</v>
      </c>
      <c r="C80">
        <v>28</v>
      </c>
      <c r="D80">
        <v>5.6700000000000003E-7</v>
      </c>
      <c r="E80">
        <v>7.5809999999999999E-7</v>
      </c>
      <c r="F80">
        <v>3.0410285714285716E-2</v>
      </c>
      <c r="G80">
        <v>1</v>
      </c>
    </row>
    <row r="81" spans="1:7" x14ac:dyDescent="0.35">
      <c r="A81" t="s">
        <v>80</v>
      </c>
      <c r="B81">
        <v>8</v>
      </c>
      <c r="C81">
        <v>28</v>
      </c>
      <c r="D81">
        <v>6.4799999999999998E-7</v>
      </c>
      <c r="E81">
        <v>8.6639999999999998E-7</v>
      </c>
      <c r="F81">
        <v>2.6609000000000001E-2</v>
      </c>
      <c r="G81">
        <v>1</v>
      </c>
    </row>
    <row r="82" spans="1:7" x14ac:dyDescent="0.35">
      <c r="A82" t="s">
        <v>81</v>
      </c>
      <c r="B82">
        <v>9</v>
      </c>
      <c r="C82">
        <v>28</v>
      </c>
      <c r="D82">
        <v>7.2899999999999992E-7</v>
      </c>
      <c r="E82">
        <v>9.7469999999999996E-7</v>
      </c>
      <c r="F82">
        <v>2.3652444444444445E-2</v>
      </c>
      <c r="G82">
        <v>1</v>
      </c>
    </row>
    <row r="83" spans="1:7" x14ac:dyDescent="0.35">
      <c r="A83" t="s">
        <v>82</v>
      </c>
      <c r="B83">
        <v>10</v>
      </c>
      <c r="C83">
        <v>28</v>
      </c>
      <c r="D83">
        <v>8.0999999999999997E-7</v>
      </c>
      <c r="E83">
        <v>1.083E-6</v>
      </c>
      <c r="F83">
        <v>2.1287199999999999E-2</v>
      </c>
      <c r="G83">
        <v>1</v>
      </c>
    </row>
    <row r="84" spans="1:7" x14ac:dyDescent="0.35">
      <c r="A84" t="s">
        <v>26</v>
      </c>
      <c r="B84">
        <v>1</v>
      </c>
      <c r="C84">
        <v>29</v>
      </c>
      <c r="D84">
        <v>6.4200000000000006E-8</v>
      </c>
      <c r="E84">
        <v>8.72E-8</v>
      </c>
      <c r="F84">
        <v>0.26840239999999999</v>
      </c>
      <c r="G84">
        <v>0</v>
      </c>
    </row>
    <row r="85" spans="1:7" x14ac:dyDescent="0.35">
      <c r="A85" t="s">
        <v>27</v>
      </c>
      <c r="B85">
        <v>1</v>
      </c>
      <c r="C85">
        <v>30</v>
      </c>
      <c r="D85">
        <v>5.0899999999999999E-8</v>
      </c>
      <c r="E85">
        <v>7.0399999999999995E-8</v>
      </c>
      <c r="F85">
        <v>0.33849600000000002</v>
      </c>
      <c r="G85">
        <v>0</v>
      </c>
    </row>
    <row r="86" spans="1:7" x14ac:dyDescent="0.35">
      <c r="A86" t="s">
        <v>28</v>
      </c>
      <c r="B86">
        <v>1</v>
      </c>
      <c r="C86">
        <v>31</v>
      </c>
      <c r="D86">
        <v>4.0399999999999998E-8</v>
      </c>
      <c r="E86">
        <v>5.6799999999999999E-8</v>
      </c>
      <c r="F86">
        <v>0.426728</v>
      </c>
      <c r="G86">
        <v>0</v>
      </c>
    </row>
    <row r="87" spans="1:7" x14ac:dyDescent="0.35">
      <c r="A87" t="s">
        <v>29</v>
      </c>
      <c r="B87">
        <v>1</v>
      </c>
      <c r="C87">
        <v>32</v>
      </c>
      <c r="D87">
        <v>3.2000000000000002E-8</v>
      </c>
      <c r="E87">
        <v>4.5900000000000001E-8</v>
      </c>
      <c r="F87">
        <v>0.53824799999999995</v>
      </c>
      <c r="G87">
        <v>0</v>
      </c>
    </row>
    <row r="88" spans="1:7" x14ac:dyDescent="0.35">
      <c r="A88" t="s">
        <v>30</v>
      </c>
      <c r="B88">
        <v>1</v>
      </c>
      <c r="C88">
        <v>33</v>
      </c>
      <c r="D88">
        <v>2.5399999999999999E-8</v>
      </c>
      <c r="E88">
        <v>3.7100000000000001E-8</v>
      </c>
      <c r="F88">
        <v>0.67863200000000001</v>
      </c>
      <c r="G88">
        <v>0</v>
      </c>
    </row>
    <row r="89" spans="1:7" x14ac:dyDescent="0.35">
      <c r="A89" t="s">
        <v>31</v>
      </c>
      <c r="B89">
        <v>1</v>
      </c>
      <c r="C89">
        <v>34</v>
      </c>
      <c r="D89">
        <v>2.0100000000000001E-8</v>
      </c>
      <c r="E89">
        <v>2.9999999999999997E-8</v>
      </c>
      <c r="F89">
        <v>0.85575199999999996</v>
      </c>
      <c r="G89">
        <v>0</v>
      </c>
    </row>
    <row r="90" spans="1:7" x14ac:dyDescent="0.35">
      <c r="A90" t="s">
        <v>32</v>
      </c>
      <c r="B90">
        <v>3</v>
      </c>
      <c r="C90">
        <v>34</v>
      </c>
      <c r="D90">
        <v>6.0333659524529993E-8</v>
      </c>
      <c r="E90">
        <v>9.9314665903109535E-8</v>
      </c>
      <c r="F90">
        <v>0.28576115529000001</v>
      </c>
      <c r="G90">
        <v>0</v>
      </c>
    </row>
    <row r="91" spans="1:7" x14ac:dyDescent="0.35">
      <c r="A91" t="s">
        <v>33</v>
      </c>
      <c r="B91">
        <v>4</v>
      </c>
      <c r="C91">
        <v>34</v>
      </c>
      <c r="D91">
        <v>8.0444879366039995E-8</v>
      </c>
      <c r="E91">
        <v>1.2971711464895944E-7</v>
      </c>
      <c r="F91">
        <v>0.21433727066700001</v>
      </c>
      <c r="G91">
        <v>0</v>
      </c>
    </row>
    <row r="92" spans="1:7" x14ac:dyDescent="0.35">
      <c r="A92" t="s">
        <v>34</v>
      </c>
      <c r="B92">
        <v>5</v>
      </c>
      <c r="C92">
        <v>34</v>
      </c>
      <c r="D92">
        <v>1.0055609920755E-7</v>
      </c>
      <c r="E92">
        <v>1.6417322322758922E-7</v>
      </c>
      <c r="F92">
        <v>0.171456693174</v>
      </c>
      <c r="G92">
        <v>0</v>
      </c>
    </row>
    <row r="93" spans="1:7" x14ac:dyDescent="0.35">
      <c r="A93" t="s">
        <v>35</v>
      </c>
      <c r="B93">
        <v>6</v>
      </c>
      <c r="C93">
        <v>34</v>
      </c>
      <c r="D93">
        <v>1.2066731904905999E-7</v>
      </c>
      <c r="E93">
        <v>2.0268299163899907E-7</v>
      </c>
      <c r="F93">
        <v>0.14288057764500001</v>
      </c>
      <c r="G93">
        <v>0</v>
      </c>
    </row>
    <row r="94" spans="1:7" x14ac:dyDescent="0.35">
      <c r="A94" t="s">
        <v>36</v>
      </c>
      <c r="B94">
        <v>7</v>
      </c>
      <c r="C94">
        <v>34</v>
      </c>
      <c r="D94">
        <v>1.4077853889057E-7</v>
      </c>
      <c r="E94">
        <v>2.2345799828199655E-7</v>
      </c>
      <c r="F94">
        <v>0.122473753467</v>
      </c>
      <c r="G94">
        <v>0</v>
      </c>
    </row>
    <row r="95" spans="1:7" x14ac:dyDescent="0.35">
      <c r="A95" t="s">
        <v>37</v>
      </c>
      <c r="B95">
        <v>8</v>
      </c>
      <c r="C95">
        <v>34</v>
      </c>
      <c r="D95">
        <v>1.6088975873207999E-7</v>
      </c>
      <c r="E95">
        <v>2.680482564425763E-7</v>
      </c>
      <c r="F95">
        <v>0.10715223113399999</v>
      </c>
      <c r="G95">
        <v>0</v>
      </c>
    </row>
    <row r="96" spans="1:7" x14ac:dyDescent="0.35">
      <c r="A96" t="s">
        <v>38</v>
      </c>
      <c r="B96">
        <v>9</v>
      </c>
      <c r="C96">
        <v>34</v>
      </c>
      <c r="D96">
        <v>1.8100097857358998E-7</v>
      </c>
      <c r="E96">
        <v>2.9186350796015868E-7</v>
      </c>
      <c r="F96">
        <v>9.5242782297000006E-2</v>
      </c>
      <c r="G96">
        <v>0</v>
      </c>
    </row>
    <row r="97" spans="1:7" x14ac:dyDescent="0.35">
      <c r="A97" t="s">
        <v>39</v>
      </c>
      <c r="B97">
        <v>10</v>
      </c>
      <c r="C97">
        <v>34</v>
      </c>
      <c r="D97">
        <v>2.011121984151E-7</v>
      </c>
      <c r="E97">
        <v>3.4253425586990836E-7</v>
      </c>
      <c r="F97">
        <v>8.5728346587000001E-2</v>
      </c>
      <c r="G97">
        <v>0</v>
      </c>
    </row>
    <row r="98" spans="1:7" x14ac:dyDescent="0.35">
      <c r="A98" t="s">
        <v>40</v>
      </c>
      <c r="B98">
        <v>15</v>
      </c>
      <c r="C98">
        <v>34</v>
      </c>
      <c r="D98">
        <v>3.0166829762264999E-7</v>
      </c>
      <c r="E98">
        <v>4.8694588741269527E-7</v>
      </c>
      <c r="F98">
        <v>5.7152231058000005E-2</v>
      </c>
      <c r="G98">
        <v>0</v>
      </c>
    </row>
    <row r="99" spans="1:7" x14ac:dyDescent="0.35">
      <c r="A99" t="s">
        <v>41</v>
      </c>
      <c r="B99">
        <v>20</v>
      </c>
      <c r="C99">
        <v>34</v>
      </c>
      <c r="D99">
        <v>4.0222439683019999E-7</v>
      </c>
      <c r="E99">
        <v>6.5669289291035686E-7</v>
      </c>
      <c r="F99">
        <v>4.2880577493000005E-2</v>
      </c>
      <c r="G99">
        <v>0</v>
      </c>
    </row>
    <row r="100" spans="1:7" x14ac:dyDescent="0.35">
      <c r="A100" t="s">
        <v>42</v>
      </c>
      <c r="B100">
        <v>1</v>
      </c>
      <c r="C100">
        <v>35</v>
      </c>
      <c r="D100">
        <v>1.6000000000000001E-8</v>
      </c>
      <c r="E100">
        <v>2.4299999999999999E-8</v>
      </c>
      <c r="F100">
        <v>1.0791200000000001</v>
      </c>
      <c r="G100">
        <v>0</v>
      </c>
    </row>
    <row r="101" spans="1:7" x14ac:dyDescent="0.35">
      <c r="A101" t="s">
        <v>43</v>
      </c>
      <c r="B101">
        <v>1</v>
      </c>
      <c r="C101">
        <v>36</v>
      </c>
      <c r="D101">
        <v>1.27E-8</v>
      </c>
      <c r="E101">
        <v>1.9700000000000001E-8</v>
      </c>
      <c r="F101">
        <v>1.36</v>
      </c>
      <c r="G101">
        <v>0</v>
      </c>
    </row>
    <row r="102" spans="1:7" x14ac:dyDescent="0.35">
      <c r="A102" t="s">
        <v>44</v>
      </c>
      <c r="B102">
        <v>1</v>
      </c>
      <c r="C102">
        <v>37</v>
      </c>
      <c r="D102">
        <v>1E-8</v>
      </c>
      <c r="E102">
        <v>1.6000000000000001E-8</v>
      </c>
      <c r="F102">
        <v>1.7188760000000001</v>
      </c>
      <c r="G102">
        <v>0</v>
      </c>
    </row>
    <row r="103" spans="1:7" x14ac:dyDescent="0.35">
      <c r="A103" t="s">
        <v>45</v>
      </c>
      <c r="B103">
        <v>1</v>
      </c>
      <c r="C103">
        <v>38</v>
      </c>
      <c r="D103">
        <v>8.0000000000000005E-9</v>
      </c>
      <c r="E103">
        <v>1.3000000000000001E-8</v>
      </c>
      <c r="F103">
        <v>2.1658279999999999</v>
      </c>
      <c r="G103">
        <v>0</v>
      </c>
    </row>
    <row r="104" spans="1:7" x14ac:dyDescent="0.35">
      <c r="A104" t="s">
        <v>46</v>
      </c>
      <c r="B104">
        <v>2</v>
      </c>
      <c r="C104">
        <v>38</v>
      </c>
      <c r="D104">
        <v>1.6000000000000001E-8</v>
      </c>
      <c r="E104">
        <v>2.6000000000000001E-8</v>
      </c>
      <c r="F104">
        <v>1.0749999999999997</v>
      </c>
      <c r="G104">
        <v>1</v>
      </c>
    </row>
    <row r="105" spans="1:7" x14ac:dyDescent="0.35">
      <c r="A105" t="s">
        <v>47</v>
      </c>
      <c r="B105">
        <v>3</v>
      </c>
      <c r="C105">
        <v>38</v>
      </c>
      <c r="D105">
        <v>2.4321958992E-8</v>
      </c>
      <c r="E105">
        <v>4.1043305806897304E-8</v>
      </c>
      <c r="F105">
        <v>0.70889107719300004</v>
      </c>
      <c r="G105">
        <v>0</v>
      </c>
    </row>
    <row r="106" spans="1:7" x14ac:dyDescent="0.35">
      <c r="A106" t="s">
        <v>48</v>
      </c>
      <c r="B106">
        <v>4</v>
      </c>
      <c r="C106">
        <v>38</v>
      </c>
      <c r="D106">
        <v>3.2429278656E-8</v>
      </c>
      <c r="E106">
        <v>5.0670747909749768E-8</v>
      </c>
      <c r="F106">
        <v>0.531660105795</v>
      </c>
      <c r="G106">
        <v>0</v>
      </c>
    </row>
    <row r="107" spans="1:7" x14ac:dyDescent="0.35">
      <c r="A107" t="s">
        <v>49</v>
      </c>
      <c r="B107">
        <v>5</v>
      </c>
      <c r="C107">
        <v>38</v>
      </c>
      <c r="D107">
        <v>4.053659832E-8</v>
      </c>
      <c r="E107">
        <v>7.296587699003967E-8</v>
      </c>
      <c r="F107">
        <v>0.42532808463599997</v>
      </c>
      <c r="G107">
        <v>0</v>
      </c>
    </row>
    <row r="108" spans="1:7" x14ac:dyDescent="0.35">
      <c r="A108" t="s">
        <v>50</v>
      </c>
      <c r="B108">
        <v>6</v>
      </c>
      <c r="C108">
        <v>38</v>
      </c>
      <c r="D108">
        <v>4.8643917984E-8</v>
      </c>
      <c r="E108">
        <v>8.5633563967477089E-8</v>
      </c>
      <c r="F108">
        <v>0.35442913439700002</v>
      </c>
      <c r="G108">
        <v>0</v>
      </c>
    </row>
    <row r="109" spans="1:7" x14ac:dyDescent="0.35">
      <c r="A109" t="s">
        <v>51</v>
      </c>
      <c r="B109">
        <v>7</v>
      </c>
      <c r="C109">
        <v>38</v>
      </c>
      <c r="D109">
        <v>5.6751237648E-8</v>
      </c>
      <c r="E109">
        <v>9.9314665903109535E-8</v>
      </c>
      <c r="F109">
        <v>0.30380577473999998</v>
      </c>
      <c r="G109">
        <v>0</v>
      </c>
    </row>
    <row r="110" spans="1:7" x14ac:dyDescent="0.35">
      <c r="A110" t="s">
        <v>52</v>
      </c>
      <c r="B110">
        <v>8</v>
      </c>
      <c r="C110">
        <v>38</v>
      </c>
      <c r="D110">
        <v>6.4858557312E-8</v>
      </c>
      <c r="E110">
        <v>1.1400918279693698E-7</v>
      </c>
      <c r="F110">
        <v>0.265846457097</v>
      </c>
      <c r="G110">
        <v>0</v>
      </c>
    </row>
    <row r="111" spans="1:7" x14ac:dyDescent="0.35">
      <c r="A111" t="s">
        <v>53</v>
      </c>
      <c r="B111">
        <v>9</v>
      </c>
      <c r="C111">
        <v>38</v>
      </c>
      <c r="D111">
        <v>7.2965876976000007E-8</v>
      </c>
      <c r="E111">
        <v>1.2971711464895944E-7</v>
      </c>
      <c r="F111">
        <v>0.23628608959799999</v>
      </c>
      <c r="G111">
        <v>0</v>
      </c>
    </row>
    <row r="112" spans="1:7" x14ac:dyDescent="0.35">
      <c r="A112" t="s">
        <v>54</v>
      </c>
      <c r="B112">
        <v>10</v>
      </c>
      <c r="C112">
        <v>38</v>
      </c>
      <c r="D112">
        <v>8.107319664E-8</v>
      </c>
      <c r="E112">
        <v>1.2971711464895944E-7</v>
      </c>
      <c r="F112">
        <v>0.21266404231799999</v>
      </c>
      <c r="G112">
        <v>0</v>
      </c>
    </row>
    <row r="113" spans="1:7" x14ac:dyDescent="0.35">
      <c r="A113" t="s">
        <v>55</v>
      </c>
      <c r="B113">
        <v>15</v>
      </c>
      <c r="C113">
        <v>38</v>
      </c>
      <c r="D113">
        <v>1.2160979495999999E-7</v>
      </c>
      <c r="E113">
        <v>2.0268299163899907E-7</v>
      </c>
      <c r="F113">
        <v>0.14176509207900001</v>
      </c>
      <c r="G113">
        <v>0</v>
      </c>
    </row>
    <row r="114" spans="1:7" x14ac:dyDescent="0.35">
      <c r="A114" t="s">
        <v>56</v>
      </c>
      <c r="B114">
        <v>20</v>
      </c>
      <c r="C114">
        <v>38</v>
      </c>
      <c r="D114">
        <v>1.6214639328E-7</v>
      </c>
      <c r="E114">
        <v>2.680482564425763E-7</v>
      </c>
      <c r="F114">
        <v>0.10633202115899999</v>
      </c>
      <c r="G114">
        <v>0</v>
      </c>
    </row>
    <row r="115" spans="1:7" x14ac:dyDescent="0.35">
      <c r="A115" t="s">
        <v>57</v>
      </c>
      <c r="B115">
        <v>25</v>
      </c>
      <c r="C115">
        <v>38</v>
      </c>
      <c r="D115">
        <v>2.0268299160000001E-7</v>
      </c>
      <c r="E115">
        <v>3.4253425586990836E-7</v>
      </c>
      <c r="F115">
        <v>8.5072178607000004E-2</v>
      </c>
      <c r="G115">
        <v>0</v>
      </c>
    </row>
    <row r="116" spans="1:7" x14ac:dyDescent="0.35">
      <c r="A116" t="s">
        <v>58</v>
      </c>
      <c r="B116">
        <v>30</v>
      </c>
      <c r="C116">
        <v>38</v>
      </c>
      <c r="D116">
        <v>2.4321958991999999E-7</v>
      </c>
      <c r="E116">
        <v>4.2614098992099556E-7</v>
      </c>
      <c r="F116">
        <v>7.0898950239000003E-2</v>
      </c>
      <c r="G116">
        <v>0</v>
      </c>
    </row>
    <row r="117" spans="1:7" x14ac:dyDescent="0.35">
      <c r="A117" t="s">
        <v>59</v>
      </c>
      <c r="B117">
        <v>40</v>
      </c>
      <c r="C117">
        <v>38</v>
      </c>
      <c r="D117">
        <v>3.2429278656E-7</v>
      </c>
      <c r="E117">
        <v>5.5180444473717508E-7</v>
      </c>
      <c r="F117">
        <v>5.3182414779000008E-2</v>
      </c>
      <c r="G117">
        <v>0</v>
      </c>
    </row>
    <row r="118" spans="1:7" x14ac:dyDescent="0.35">
      <c r="A118" t="s">
        <v>60</v>
      </c>
      <c r="B118">
        <v>50</v>
      </c>
      <c r="C118">
        <v>38</v>
      </c>
      <c r="D118">
        <v>4.0536598320000001E-7</v>
      </c>
      <c r="E118">
        <v>6.9368253888447434E-7</v>
      </c>
      <c r="F118">
        <v>4.2519685104000005E-2</v>
      </c>
      <c r="G118">
        <v>0</v>
      </c>
    </row>
    <row r="119" spans="1:7" x14ac:dyDescent="0.35">
      <c r="A119" t="s">
        <v>61</v>
      </c>
      <c r="B119">
        <v>60</v>
      </c>
      <c r="C119">
        <v>38</v>
      </c>
      <c r="D119">
        <v>4.8643917983999997E-7</v>
      </c>
      <c r="E119">
        <v>8.1073196655599628E-7</v>
      </c>
      <c r="F119">
        <v>3.5433070920000004E-2</v>
      </c>
      <c r="G119">
        <v>0</v>
      </c>
    </row>
    <row r="120" spans="1:7" x14ac:dyDescent="0.35">
      <c r="A120" t="s">
        <v>62</v>
      </c>
      <c r="B120">
        <v>1</v>
      </c>
      <c r="C120">
        <v>39</v>
      </c>
      <c r="D120">
        <v>6.3000000000000002E-9</v>
      </c>
      <c r="E120">
        <v>1.0600000000000001E-8</v>
      </c>
      <c r="F120">
        <v>2.7320519999999999</v>
      </c>
      <c r="G120">
        <v>0</v>
      </c>
    </row>
    <row r="121" spans="1:7" x14ac:dyDescent="0.35">
      <c r="A121" t="s">
        <v>63</v>
      </c>
      <c r="B121">
        <v>1</v>
      </c>
      <c r="C121">
        <v>40</v>
      </c>
      <c r="D121">
        <v>5.0000000000000001E-9</v>
      </c>
      <c r="E121">
        <v>8.5999999999999993E-9</v>
      </c>
      <c r="F121">
        <v>3.4242699999999999</v>
      </c>
      <c r="G121">
        <v>0</v>
      </c>
    </row>
    <row r="122" spans="1:7" x14ac:dyDescent="0.35">
      <c r="A122" t="s">
        <v>64</v>
      </c>
      <c r="B122">
        <v>1</v>
      </c>
      <c r="C122">
        <v>41</v>
      </c>
      <c r="D122">
        <v>4.0000000000000002E-9</v>
      </c>
      <c r="E122">
        <v>6.9999999999999998E-9</v>
      </c>
      <c r="F122">
        <v>4.3123800000000001</v>
      </c>
      <c r="G12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E9155-F280-4D61-95FD-A9B87D065F00}">
  <dimension ref="A1:G11"/>
  <sheetViews>
    <sheetView workbookViewId="0">
      <selection activeCell="A3" sqref="A3"/>
    </sheetView>
  </sheetViews>
  <sheetFormatPr defaultRowHeight="14.5" x14ac:dyDescent="0.35"/>
  <cols>
    <col min="1" max="1" width="10.90625" bestFit="1" customWidth="1"/>
  </cols>
  <sheetData>
    <row r="1" spans="1:7" x14ac:dyDescent="0.35">
      <c r="A1" t="s">
        <v>19</v>
      </c>
      <c r="B1">
        <v>1</v>
      </c>
      <c r="C1">
        <v>22</v>
      </c>
      <c r="D1">
        <v>3.255E-7</v>
      </c>
      <c r="E1">
        <v>4.0129999999999997E-7</v>
      </c>
      <c r="F1">
        <v>5.2939199999999999E-2</v>
      </c>
      <c r="G1">
        <v>0</v>
      </c>
    </row>
    <row r="3" spans="1:7" x14ac:dyDescent="0.35">
      <c r="A3" t="str">
        <f t="shared" ref="A2:A11" si="0">CONCATENATE(B3,"x AWG ",C3)</f>
        <v>2x AWG 22</v>
      </c>
      <c r="B3">
        <v>2</v>
      </c>
      <c r="C3">
        <f>$C$1</f>
        <v>22</v>
      </c>
      <c r="D3" s="1">
        <f>$D$1*B3</f>
        <v>6.5099999999999999E-7</v>
      </c>
      <c r="E3" s="1">
        <f>$E$1*B3</f>
        <v>8.0259999999999995E-7</v>
      </c>
      <c r="F3">
        <f>$F$1/B3</f>
        <v>2.6469599999999999E-2</v>
      </c>
      <c r="G3">
        <v>1</v>
      </c>
    </row>
    <row r="4" spans="1:7" x14ac:dyDescent="0.35">
      <c r="A4" t="str">
        <f t="shared" si="0"/>
        <v>3x AWG 22</v>
      </c>
      <c r="B4">
        <v>3</v>
      </c>
      <c r="C4">
        <f t="shared" ref="C4:C11" si="1">$C$1</f>
        <v>22</v>
      </c>
      <c r="D4" s="1">
        <f t="shared" ref="D4:D11" si="2">$D$1*B4</f>
        <v>9.7649999999999988E-7</v>
      </c>
      <c r="E4" s="1">
        <f t="shared" ref="E4:E11" si="3">$E$1*B4</f>
        <v>1.2039E-6</v>
      </c>
      <c r="F4">
        <f t="shared" ref="F4:F11" si="4">$F$1/B4</f>
        <v>1.76464E-2</v>
      </c>
      <c r="G4">
        <v>1</v>
      </c>
    </row>
    <row r="5" spans="1:7" x14ac:dyDescent="0.35">
      <c r="A5" t="str">
        <f t="shared" si="0"/>
        <v>4x AWG 22</v>
      </c>
      <c r="B5">
        <v>4</v>
      </c>
      <c r="C5">
        <f t="shared" si="1"/>
        <v>22</v>
      </c>
      <c r="D5" s="1">
        <f t="shared" si="2"/>
        <v>1.302E-6</v>
      </c>
      <c r="E5" s="1">
        <f t="shared" si="3"/>
        <v>1.6051999999999999E-6</v>
      </c>
      <c r="F5">
        <f t="shared" si="4"/>
        <v>1.32348E-2</v>
      </c>
      <c r="G5">
        <v>1</v>
      </c>
    </row>
    <row r="6" spans="1:7" x14ac:dyDescent="0.35">
      <c r="A6" t="str">
        <f t="shared" si="0"/>
        <v>5x AWG 22</v>
      </c>
      <c r="B6">
        <v>5</v>
      </c>
      <c r="C6">
        <f t="shared" si="1"/>
        <v>22</v>
      </c>
      <c r="D6" s="1">
        <f t="shared" si="2"/>
        <v>1.6275000000000001E-6</v>
      </c>
      <c r="E6" s="1">
        <f t="shared" si="3"/>
        <v>2.0064999999999998E-6</v>
      </c>
      <c r="F6">
        <f t="shared" si="4"/>
        <v>1.0587839999999999E-2</v>
      </c>
      <c r="G6">
        <v>1</v>
      </c>
    </row>
    <row r="7" spans="1:7" x14ac:dyDescent="0.35">
      <c r="A7" t="str">
        <f t="shared" si="0"/>
        <v>6x AWG 22</v>
      </c>
      <c r="B7">
        <v>6</v>
      </c>
      <c r="C7">
        <f t="shared" si="1"/>
        <v>22</v>
      </c>
      <c r="D7" s="1">
        <f t="shared" si="2"/>
        <v>1.9529999999999998E-6</v>
      </c>
      <c r="E7" s="1">
        <f t="shared" si="3"/>
        <v>2.4078000000000001E-6</v>
      </c>
      <c r="F7">
        <f t="shared" si="4"/>
        <v>8.8231999999999998E-3</v>
      </c>
      <c r="G7">
        <v>1</v>
      </c>
    </row>
    <row r="8" spans="1:7" x14ac:dyDescent="0.35">
      <c r="A8" t="str">
        <f t="shared" si="0"/>
        <v>7x AWG 22</v>
      </c>
      <c r="B8">
        <v>7</v>
      </c>
      <c r="C8">
        <f t="shared" si="1"/>
        <v>22</v>
      </c>
      <c r="D8" s="1">
        <f t="shared" si="2"/>
        <v>2.2784999999999999E-6</v>
      </c>
      <c r="E8" s="1">
        <f t="shared" si="3"/>
        <v>2.8090999999999999E-6</v>
      </c>
      <c r="F8">
        <f t="shared" si="4"/>
        <v>7.5627428571428566E-3</v>
      </c>
      <c r="G8">
        <v>1</v>
      </c>
    </row>
    <row r="9" spans="1:7" x14ac:dyDescent="0.35">
      <c r="A9" t="str">
        <f t="shared" si="0"/>
        <v>8x AWG 22</v>
      </c>
      <c r="B9">
        <v>8</v>
      </c>
      <c r="C9">
        <f t="shared" si="1"/>
        <v>22</v>
      </c>
      <c r="D9" s="1">
        <f t="shared" si="2"/>
        <v>2.604E-6</v>
      </c>
      <c r="E9" s="1">
        <f t="shared" si="3"/>
        <v>3.2103999999999998E-6</v>
      </c>
      <c r="F9">
        <f t="shared" si="4"/>
        <v>6.6173999999999998E-3</v>
      </c>
      <c r="G9">
        <v>1</v>
      </c>
    </row>
    <row r="10" spans="1:7" x14ac:dyDescent="0.35">
      <c r="A10" t="str">
        <f t="shared" si="0"/>
        <v>9x AWG 22</v>
      </c>
      <c r="B10">
        <v>9</v>
      </c>
      <c r="C10">
        <f t="shared" si="1"/>
        <v>22</v>
      </c>
      <c r="D10" s="1">
        <f t="shared" si="2"/>
        <v>2.9295000000000001E-6</v>
      </c>
      <c r="E10" s="1">
        <f t="shared" si="3"/>
        <v>3.6116999999999997E-6</v>
      </c>
      <c r="F10">
        <f t="shared" si="4"/>
        <v>5.8821333333333335E-3</v>
      </c>
      <c r="G10">
        <v>1</v>
      </c>
    </row>
    <row r="11" spans="1:7" x14ac:dyDescent="0.35">
      <c r="A11" t="str">
        <f t="shared" si="0"/>
        <v>10x AWG 22</v>
      </c>
      <c r="B11">
        <v>10</v>
      </c>
      <c r="C11">
        <f t="shared" si="1"/>
        <v>22</v>
      </c>
      <c r="D11" s="1">
        <f t="shared" si="2"/>
        <v>3.2550000000000002E-6</v>
      </c>
      <c r="E11" s="1">
        <f t="shared" si="3"/>
        <v>4.0129999999999995E-6</v>
      </c>
      <c r="F11">
        <f t="shared" si="4"/>
        <v>5.2939199999999997E-3</v>
      </c>
      <c r="G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Wires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Renan Duarte</dc:creator>
  <cp:lastModifiedBy>Renan Duarte</cp:lastModifiedBy>
  <dcterms:created xsi:type="dcterms:W3CDTF">2023-09-14T13:09:20Z</dcterms:created>
  <dcterms:modified xsi:type="dcterms:W3CDTF">2024-09-24T12:59:59Z</dcterms:modified>
</cp:coreProperties>
</file>